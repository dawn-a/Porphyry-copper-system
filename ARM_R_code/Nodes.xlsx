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<sst xmlns="http://schemas.openxmlformats.org/spreadsheetml/2006/main" count="348" uniqueCount="103">
  <si>
    <t>id</t>
  </si>
  <si>
    <t>Chinese_name</t>
  </si>
  <si>
    <t>source</t>
  </si>
  <si>
    <t>Chemical_formula</t>
  </si>
  <si>
    <t>target</t>
  </si>
  <si>
    <t>frequence</t>
  </si>
  <si>
    <t>rule_number</t>
  </si>
  <si>
    <t>frequency</t>
  </si>
  <si>
    <t>Limonite</t>
  </si>
  <si>
    <t>-</t>
  </si>
  <si>
    <t>Cu</t>
  </si>
  <si>
    <t>Montmorillonite</t>
  </si>
  <si>
    <t>(Na,Ca)0.3(Al,Mg)2Si4O10(OH)2·nH2O</t>
  </si>
  <si>
    <t>Pyrrhotite</t>
  </si>
  <si>
    <t>Fe7S8</t>
  </si>
  <si>
    <t>Chalcopyrite</t>
  </si>
  <si>
    <t>CuFeS2</t>
  </si>
  <si>
    <t>Chlorite Group</t>
  </si>
  <si>
    <t>Hematite</t>
  </si>
  <si>
    <t>Fe2O3</t>
  </si>
  <si>
    <t>Molybdenite</t>
  </si>
  <si>
    <t>MoS2</t>
  </si>
  <si>
    <t>Pyrite</t>
  </si>
  <si>
    <t>FeS2</t>
  </si>
  <si>
    <t>Gypsum</t>
  </si>
  <si>
    <t>Ca(SO4)·2H2O</t>
  </si>
  <si>
    <t>Cu-Mo</t>
  </si>
  <si>
    <t>Tetrahedrite Subgroup</t>
  </si>
  <si>
    <t>Biotite</t>
  </si>
  <si>
    <t>Chalcocite</t>
  </si>
  <si>
    <t>Cu2S</t>
  </si>
  <si>
    <t>Magnetite</t>
  </si>
  <si>
    <t>Fe2+Fe3+2O4</t>
  </si>
  <si>
    <t>Galena</t>
  </si>
  <si>
    <t>PbS</t>
  </si>
  <si>
    <t>Sphalerite</t>
  </si>
  <si>
    <t>ZnS</t>
  </si>
  <si>
    <t>Bornite</t>
  </si>
  <si>
    <t>Cu5FeS4</t>
  </si>
  <si>
    <t>Muscovite</t>
  </si>
  <si>
    <t>KAl2(Si3Al)O10(OH)2</t>
  </si>
  <si>
    <t>Sericite</t>
  </si>
  <si>
    <t>Kaolinite</t>
  </si>
  <si>
    <t>Al2Si2O5(OH)4</t>
  </si>
  <si>
    <t>Epidote</t>
  </si>
  <si>
    <t>Ca2(Al2Fe3+)[Si2O7][SiO4]O(OH)</t>
  </si>
  <si>
    <t>Anhydrite</t>
  </si>
  <si>
    <t>Ca(SO4)</t>
  </si>
  <si>
    <t>Malachite</t>
  </si>
  <si>
    <t>Cu2(CO3)(OH)2</t>
  </si>
  <si>
    <t>Scheelite</t>
  </si>
  <si>
    <t>Ca(WO4)</t>
  </si>
  <si>
    <t>Covellite</t>
  </si>
  <si>
    <t>CuS</t>
  </si>
  <si>
    <t>Quartz</t>
  </si>
  <si>
    <t>SiO2</t>
  </si>
  <si>
    <t>Calcite</t>
  </si>
  <si>
    <t>Ca(CO3)</t>
  </si>
  <si>
    <t>Digenite</t>
  </si>
  <si>
    <t>Cu1.8S</t>
  </si>
  <si>
    <t>Native Copper</t>
  </si>
  <si>
    <t>Native Gold</t>
  </si>
  <si>
    <t>Au</t>
  </si>
  <si>
    <t>Cu-Au</t>
  </si>
  <si>
    <t>Electrum</t>
  </si>
  <si>
    <t>Specularite</t>
  </si>
  <si>
    <t>Actinolite</t>
  </si>
  <si>
    <t>Ca2(Mg4.5-2.5Fe2+0.5-2.5)Si8O22(OH)2</t>
  </si>
  <si>
    <t>Azurite</t>
  </si>
  <si>
    <t>Cu3(CO3)2(OH)2</t>
  </si>
  <si>
    <t>K Feldspar</t>
  </si>
  <si>
    <t>Marcasite</t>
  </si>
  <si>
    <t>Plagioclase</t>
  </si>
  <si>
    <t>Baryte</t>
  </si>
  <si>
    <t>Ba(SO4)</t>
  </si>
  <si>
    <t>Diaspore</t>
  </si>
  <si>
    <t>AlO(OH)</t>
  </si>
  <si>
    <t>Pyrophyllite</t>
  </si>
  <si>
    <t>Al2Si4O10(OH)2</t>
  </si>
  <si>
    <t>Garnet Group</t>
  </si>
  <si>
    <t>Zircon</t>
  </si>
  <si>
    <t>Zr(SiO4)</t>
  </si>
  <si>
    <t>Alunite</t>
  </si>
  <si>
    <t>KAl3(SO4)2(OH)6</t>
  </si>
  <si>
    <t>Illite</t>
  </si>
  <si>
    <t>Amphibole Supergroup</t>
  </si>
  <si>
    <t>Zeolite Group</t>
  </si>
  <si>
    <t>Diopside</t>
  </si>
  <si>
    <t>CaMgSi2O6</t>
  </si>
  <si>
    <t>Dickite</t>
  </si>
  <si>
    <t>Chrysocolla</t>
  </si>
  <si>
    <t>(Cu2-xAlx)H2-xSi2O5(OH)4·nH2O</t>
  </si>
  <si>
    <t>Tennantite Subgroup</t>
  </si>
  <si>
    <t>Cuprite</t>
  </si>
  <si>
    <t>Cu2O</t>
  </si>
  <si>
    <t>Albite</t>
  </si>
  <si>
    <t>Na(AlSi3O8)</t>
  </si>
  <si>
    <t>Enargite</t>
  </si>
  <si>
    <t>Cu3AsS4</t>
  </si>
  <si>
    <t>Native Silver</t>
  </si>
  <si>
    <t>Ag</t>
  </si>
  <si>
    <t>Fluorite</t>
  </si>
  <si>
    <t>CaF2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</si>
</sst>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8.25"/>
      <color rgb="FF000000"/>
      <name val="Segoe UI"/>
      <charset val="134"/>
    </font>
    <font>
      <sz val="8.25"/>
      <color rgb="FF000000"/>
      <name val="Segoe UI"/>
      <charset val="134"/>
    </font>
    <font>
      <sz val="8.5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4" fillId="3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tabSelected="1" workbookViewId="0">
      <selection activeCell="D87" sqref="D87"/>
    </sheetView>
  </sheetViews>
  <sheetFormatPr defaultColWidth="9" defaultRowHeight="13.5"/>
  <cols>
    <col min="1" max="1" width="11.125" customWidth="1"/>
    <col min="2" max="2" width="19.25" customWidth="1"/>
    <col min="3" max="3" width="17.375" customWidth="1"/>
    <col min="4" max="4" width="25.625" customWidth="1"/>
    <col min="5" max="5" width="15.75" customWidth="1"/>
    <col min="6" max="6" width="19.125" customWidth="1"/>
    <col min="7" max="7" width="14.125" customWidth="1"/>
    <col min="8" max="8" width="16.75" customWidth="1"/>
    <col min="10" max="10" width="16.75" customWidth="1"/>
  </cols>
  <sheetData>
    <row r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10">
      <c r="A2" s="2">
        <v>1</v>
      </c>
      <c r="B2" s="3" t="s">
        <v>8</v>
      </c>
      <c r="C2" s="3" t="s">
        <v>8</v>
      </c>
      <c r="D2" s="3" t="s">
        <v>9</v>
      </c>
      <c r="E2" s="3" t="s">
        <v>10</v>
      </c>
      <c r="F2" s="4">
        <v>32</v>
      </c>
      <c r="G2" s="4">
        <v>32</v>
      </c>
      <c r="H2" s="4">
        <f>F2/G2</f>
        <v>1</v>
      </c>
    </row>
    <row r="3" ht="14.25" spans="1:10">
      <c r="A3" s="2">
        <v>2</v>
      </c>
      <c r="B3" s="5" t="s">
        <v>11</v>
      </c>
      <c r="C3" s="5" t="s">
        <v>11</v>
      </c>
      <c r="D3" s="3" t="s">
        <v>12</v>
      </c>
      <c r="E3" s="3" t="s">
        <v>10</v>
      </c>
      <c r="F3" s="4">
        <v>32</v>
      </c>
      <c r="G3" s="4">
        <v>32</v>
      </c>
      <c r="H3" s="4">
        <f t="shared" ref="H3:H34" si="0">F3/G3</f>
        <v>1</v>
      </c>
    </row>
    <row r="4" ht="14.25" spans="1:10">
      <c r="A4" s="2">
        <v>3</v>
      </c>
      <c r="B4" s="5" t="s">
        <v>13</v>
      </c>
      <c r="C4" s="5" t="s">
        <v>13</v>
      </c>
      <c r="D4" s="3" t="s">
        <v>14</v>
      </c>
      <c r="E4" s="3" t="s">
        <v>10</v>
      </c>
      <c r="F4" s="4">
        <v>32</v>
      </c>
      <c r="G4" s="4">
        <v>32</v>
      </c>
      <c r="H4" s="4">
        <f t="shared" si="0"/>
        <v>1</v>
      </c>
    </row>
    <row r="5" ht="14.25" spans="1:10">
      <c r="A5" s="2">
        <v>4</v>
      </c>
      <c r="B5" s="5" t="s">
        <v>15</v>
      </c>
      <c r="C5" s="5" t="s">
        <v>15</v>
      </c>
      <c r="D5" s="3" t="s">
        <v>16</v>
      </c>
      <c r="E5" s="3" t="s">
        <v>10</v>
      </c>
      <c r="F5" s="4">
        <v>16</v>
      </c>
      <c r="G5" s="4">
        <v>32</v>
      </c>
      <c r="H5" s="4">
        <f t="shared" si="0"/>
        <v>0.5</v>
      </c>
    </row>
    <row r="6" ht="14.25" spans="1:10">
      <c r="A6" s="2">
        <v>5</v>
      </c>
      <c r="B6" s="5" t="s">
        <v>17</v>
      </c>
      <c r="C6" s="5" t="s">
        <v>17</v>
      </c>
      <c r="D6" s="3" t="s">
        <v>9</v>
      </c>
      <c r="E6" s="3" t="s">
        <v>10</v>
      </c>
      <c r="F6" s="4">
        <v>16</v>
      </c>
      <c r="G6" s="4">
        <v>32</v>
      </c>
      <c r="H6" s="4">
        <f t="shared" si="0"/>
        <v>0.5</v>
      </c>
    </row>
    <row r="7" ht="14.25" spans="1:10">
      <c r="A7" s="2">
        <v>6</v>
      </c>
      <c r="B7" s="3" t="s">
        <v>18</v>
      </c>
      <c r="C7" s="3" t="s">
        <v>18</v>
      </c>
      <c r="D7" s="3" t="s">
        <v>19</v>
      </c>
      <c r="E7" s="3" t="s">
        <v>10</v>
      </c>
      <c r="F7" s="4">
        <v>16</v>
      </c>
      <c r="G7" s="4">
        <v>32</v>
      </c>
      <c r="H7" s="4">
        <f t="shared" si="0"/>
        <v>0.5</v>
      </c>
    </row>
    <row r="8" ht="14.25" spans="1:10">
      <c r="A8" s="2">
        <v>7</v>
      </c>
      <c r="B8" s="5" t="s">
        <v>20</v>
      </c>
      <c r="C8" s="5" t="s">
        <v>20</v>
      </c>
      <c r="D8" s="3" t="s">
        <v>21</v>
      </c>
      <c r="E8" s="3" t="s">
        <v>10</v>
      </c>
      <c r="F8" s="4">
        <v>16</v>
      </c>
      <c r="G8" s="4">
        <v>32</v>
      </c>
      <c r="H8" s="4">
        <f t="shared" si="0"/>
        <v>0.5</v>
      </c>
    </row>
    <row r="9" ht="14.25" spans="1:10">
      <c r="A9" s="2">
        <v>8</v>
      </c>
      <c r="B9" s="3" t="s">
        <v>22</v>
      </c>
      <c r="C9" s="3" t="s">
        <v>22</v>
      </c>
      <c r="D9" s="3" t="s">
        <v>23</v>
      </c>
      <c r="E9" s="3" t="s">
        <v>10</v>
      </c>
      <c r="F9" s="4">
        <v>16</v>
      </c>
      <c r="G9" s="4">
        <v>32</v>
      </c>
      <c r="H9" s="4">
        <f t="shared" si="0"/>
        <v>0.5</v>
      </c>
    </row>
    <row r="10" ht="14.25" spans="1:10">
      <c r="A10" s="2">
        <v>1</v>
      </c>
      <c r="B10" s="3" t="s">
        <v>24</v>
      </c>
      <c r="C10" s="3" t="s">
        <v>24</v>
      </c>
      <c r="D10" s="3" t="s">
        <v>25</v>
      </c>
      <c r="E10" s="3" t="s">
        <v>26</v>
      </c>
      <c r="F10" s="4">
        <v>68224</v>
      </c>
      <c r="G10" s="4">
        <v>74560</v>
      </c>
      <c r="H10" s="4">
        <f t="shared" si="0"/>
        <v>0.915021459227468</v>
      </c>
      <c r="J10" s="6"/>
    </row>
    <row r="11" ht="14.25" spans="1:10">
      <c r="A11" s="2">
        <v>2</v>
      </c>
      <c r="B11" s="3" t="s">
        <v>8</v>
      </c>
      <c r="C11" s="3" t="s">
        <v>8</v>
      </c>
      <c r="D11" s="3" t="s">
        <v>9</v>
      </c>
      <c r="E11" s="3" t="s">
        <v>26</v>
      </c>
      <c r="F11" s="4">
        <v>63424</v>
      </c>
      <c r="G11" s="4">
        <v>74560</v>
      </c>
      <c r="H11" s="4">
        <f t="shared" si="0"/>
        <v>0.850643776824034</v>
      </c>
      <c r="J11" s="6"/>
    </row>
    <row r="12" ht="14.25" spans="1:10">
      <c r="A12" s="2">
        <v>3</v>
      </c>
      <c r="B12" s="5" t="s">
        <v>27</v>
      </c>
      <c r="C12" s="5" t="s">
        <v>27</v>
      </c>
      <c r="D12" s="3" t="s">
        <v>9</v>
      </c>
      <c r="E12" s="3" t="s">
        <v>26</v>
      </c>
      <c r="F12" s="4">
        <v>63360</v>
      </c>
      <c r="G12" s="4">
        <v>74560</v>
      </c>
      <c r="H12" s="4">
        <f t="shared" si="0"/>
        <v>0.849785407725322</v>
      </c>
      <c r="J12" s="6"/>
    </row>
    <row r="13" ht="14.25" spans="1:10">
      <c r="A13" s="2">
        <v>4</v>
      </c>
      <c r="B13" s="3" t="s">
        <v>18</v>
      </c>
      <c r="C13" s="3" t="s">
        <v>18</v>
      </c>
      <c r="D13" s="3" t="s">
        <v>19</v>
      </c>
      <c r="E13" s="3" t="s">
        <v>26</v>
      </c>
      <c r="F13" s="4">
        <v>57408</v>
      </c>
      <c r="G13" s="4">
        <v>74560</v>
      </c>
      <c r="H13" s="4">
        <f t="shared" si="0"/>
        <v>0.769957081545064</v>
      </c>
      <c r="J13" s="6"/>
    </row>
    <row r="14" ht="14.25" spans="1:10">
      <c r="A14" s="2">
        <v>5</v>
      </c>
      <c r="B14" s="3" t="s">
        <v>28</v>
      </c>
      <c r="C14" s="3" t="s">
        <v>28</v>
      </c>
      <c r="D14" s="3" t="s">
        <v>9</v>
      </c>
      <c r="E14" s="3" t="s">
        <v>26</v>
      </c>
      <c r="F14" s="4">
        <v>50424</v>
      </c>
      <c r="G14" s="4">
        <v>74560</v>
      </c>
      <c r="H14" s="4">
        <f t="shared" si="0"/>
        <v>0.676287553648069</v>
      </c>
      <c r="J14" s="6"/>
    </row>
    <row r="15" ht="14.25" spans="1:10">
      <c r="A15" s="2">
        <v>6</v>
      </c>
      <c r="B15" s="5" t="s">
        <v>29</v>
      </c>
      <c r="C15" s="5" t="s">
        <v>29</v>
      </c>
      <c r="D15" s="3" t="s">
        <v>30</v>
      </c>
      <c r="E15" s="3" t="s">
        <v>26</v>
      </c>
      <c r="F15" s="4">
        <v>41488</v>
      </c>
      <c r="G15" s="4">
        <v>74560</v>
      </c>
      <c r="H15" s="4">
        <f t="shared" si="0"/>
        <v>0.556437768240343</v>
      </c>
      <c r="J15" s="6"/>
    </row>
    <row r="16" ht="14.25" spans="1:10">
      <c r="A16" s="2">
        <v>7</v>
      </c>
      <c r="B16" s="3" t="s">
        <v>31</v>
      </c>
      <c r="C16" s="3" t="s">
        <v>31</v>
      </c>
      <c r="D16" s="3" t="s">
        <v>32</v>
      </c>
      <c r="E16" s="3" t="s">
        <v>26</v>
      </c>
      <c r="F16" s="4">
        <v>37808</v>
      </c>
      <c r="G16" s="4">
        <v>74560</v>
      </c>
      <c r="H16" s="4">
        <f t="shared" si="0"/>
        <v>0.507081545064378</v>
      </c>
      <c r="J16" s="6"/>
    </row>
    <row r="17" ht="14.25" spans="1:10">
      <c r="A17" s="2">
        <v>8</v>
      </c>
      <c r="B17" s="5" t="s">
        <v>20</v>
      </c>
      <c r="C17" s="5" t="s">
        <v>20</v>
      </c>
      <c r="D17" s="3" t="s">
        <v>21</v>
      </c>
      <c r="E17" s="3" t="s">
        <v>26</v>
      </c>
      <c r="F17" s="4">
        <v>37752</v>
      </c>
      <c r="G17" s="4">
        <v>74560</v>
      </c>
      <c r="H17" s="4">
        <f t="shared" si="0"/>
        <v>0.506330472103004</v>
      </c>
      <c r="J17" s="6"/>
    </row>
    <row r="18" ht="14.25" spans="1:10">
      <c r="A18" s="2">
        <v>9</v>
      </c>
      <c r="B18" s="3" t="s">
        <v>33</v>
      </c>
      <c r="C18" s="3" t="s">
        <v>33</v>
      </c>
      <c r="D18" s="3" t="s">
        <v>34</v>
      </c>
      <c r="E18" s="3" t="s">
        <v>26</v>
      </c>
      <c r="F18" s="4">
        <v>37384</v>
      </c>
      <c r="G18" s="4">
        <v>74560</v>
      </c>
      <c r="H18" s="4">
        <f t="shared" si="0"/>
        <v>0.501394849785408</v>
      </c>
      <c r="J18" s="6"/>
    </row>
    <row r="19" ht="14.25" spans="1:10">
      <c r="A19" s="2">
        <v>10</v>
      </c>
      <c r="B19" s="5" t="s">
        <v>35</v>
      </c>
      <c r="C19" s="5" t="s">
        <v>35</v>
      </c>
      <c r="D19" s="3" t="s">
        <v>36</v>
      </c>
      <c r="E19" s="3" t="s">
        <v>26</v>
      </c>
      <c r="F19" s="4">
        <v>37384</v>
      </c>
      <c r="G19" s="4">
        <v>74560</v>
      </c>
      <c r="H19" s="4">
        <f t="shared" si="0"/>
        <v>0.501394849785408</v>
      </c>
      <c r="J19" s="6"/>
    </row>
    <row r="20" ht="14.25" spans="1:10">
      <c r="A20" s="2">
        <v>11</v>
      </c>
      <c r="B20" s="5" t="s">
        <v>15</v>
      </c>
      <c r="C20" s="5" t="s">
        <v>15</v>
      </c>
      <c r="D20" s="3" t="s">
        <v>16</v>
      </c>
      <c r="E20" s="3" t="s">
        <v>26</v>
      </c>
      <c r="F20" s="4">
        <v>37280</v>
      </c>
      <c r="G20" s="4">
        <v>74560</v>
      </c>
      <c r="H20" s="4">
        <f t="shared" si="0"/>
        <v>0.5</v>
      </c>
      <c r="J20" s="6"/>
    </row>
    <row r="21" ht="14.25" spans="1:10">
      <c r="A21" s="2">
        <v>12</v>
      </c>
      <c r="B21" s="3" t="s">
        <v>22</v>
      </c>
      <c r="C21" s="3" t="s">
        <v>22</v>
      </c>
      <c r="D21" s="3" t="s">
        <v>23</v>
      </c>
      <c r="E21" s="3" t="s">
        <v>26</v>
      </c>
      <c r="F21" s="4">
        <v>37280</v>
      </c>
      <c r="G21" s="4">
        <v>74560</v>
      </c>
      <c r="H21" s="4">
        <f t="shared" si="0"/>
        <v>0.5</v>
      </c>
      <c r="J21" s="6"/>
    </row>
    <row r="22" ht="14.25" spans="1:10">
      <c r="A22" s="2">
        <v>13</v>
      </c>
      <c r="B22" s="3" t="s">
        <v>37</v>
      </c>
      <c r="C22" s="3" t="s">
        <v>37</v>
      </c>
      <c r="D22" s="3" t="s">
        <v>38</v>
      </c>
      <c r="E22" s="3" t="s">
        <v>26</v>
      </c>
      <c r="F22" s="4">
        <v>36096</v>
      </c>
      <c r="G22" s="4">
        <v>74560</v>
      </c>
      <c r="H22" s="4">
        <f t="shared" si="0"/>
        <v>0.48412017167382</v>
      </c>
      <c r="J22" s="6"/>
    </row>
    <row r="23" ht="14.25" spans="1:10">
      <c r="A23" s="2">
        <v>14</v>
      </c>
      <c r="B23" s="5" t="s">
        <v>17</v>
      </c>
      <c r="C23" s="5" t="s">
        <v>17</v>
      </c>
      <c r="D23" s="3" t="s">
        <v>9</v>
      </c>
      <c r="E23" s="3" t="s">
        <v>26</v>
      </c>
      <c r="F23" s="4">
        <v>35872</v>
      </c>
      <c r="G23" s="4">
        <v>74560</v>
      </c>
      <c r="H23" s="4">
        <f t="shared" si="0"/>
        <v>0.481115879828326</v>
      </c>
      <c r="J23" s="6"/>
    </row>
    <row r="24" ht="14.25" spans="1:10">
      <c r="A24" s="2">
        <v>15</v>
      </c>
      <c r="B24" s="3" t="s">
        <v>39</v>
      </c>
      <c r="C24" s="3" t="s">
        <v>39</v>
      </c>
      <c r="D24" s="3" t="s">
        <v>40</v>
      </c>
      <c r="E24" s="3" t="s">
        <v>26</v>
      </c>
      <c r="F24" s="4">
        <v>35872</v>
      </c>
      <c r="G24" s="4">
        <v>74560</v>
      </c>
      <c r="H24" s="4">
        <f t="shared" si="0"/>
        <v>0.481115879828326</v>
      </c>
      <c r="J24" s="6"/>
    </row>
    <row r="25" ht="14.25" spans="1:10">
      <c r="A25" s="2">
        <v>16</v>
      </c>
      <c r="B25" s="3" t="s">
        <v>41</v>
      </c>
      <c r="C25" s="3" t="s">
        <v>41</v>
      </c>
      <c r="D25" s="3" t="s">
        <v>9</v>
      </c>
      <c r="E25" s="3" t="s">
        <v>26</v>
      </c>
      <c r="F25" s="4">
        <v>35872</v>
      </c>
      <c r="G25" s="4">
        <v>74560</v>
      </c>
      <c r="H25" s="4">
        <f t="shared" si="0"/>
        <v>0.481115879828326</v>
      </c>
      <c r="J25" s="6"/>
    </row>
    <row r="26" ht="14.25" spans="1:10">
      <c r="A26" s="2">
        <v>17</v>
      </c>
      <c r="B26" s="3" t="s">
        <v>42</v>
      </c>
      <c r="C26" s="3" t="s">
        <v>42</v>
      </c>
      <c r="D26" s="3" t="s">
        <v>43</v>
      </c>
      <c r="E26" s="3" t="s">
        <v>26</v>
      </c>
      <c r="F26" s="4">
        <v>26736</v>
      </c>
      <c r="G26" s="4">
        <v>74560</v>
      </c>
      <c r="H26" s="4">
        <f t="shared" si="0"/>
        <v>0.358583690987124</v>
      </c>
      <c r="J26" s="6"/>
    </row>
    <row r="27" ht="14.25" spans="1:10">
      <c r="A27" s="2">
        <v>18</v>
      </c>
      <c r="B27" s="3" t="s">
        <v>44</v>
      </c>
      <c r="C27" s="3" t="s">
        <v>44</v>
      </c>
      <c r="D27" s="3" t="s">
        <v>45</v>
      </c>
      <c r="E27" s="3" t="s">
        <v>26</v>
      </c>
      <c r="F27" s="4">
        <v>26304</v>
      </c>
      <c r="G27" s="4">
        <v>74560</v>
      </c>
      <c r="H27" s="4">
        <f t="shared" si="0"/>
        <v>0.352789699570815</v>
      </c>
      <c r="J27" s="6"/>
    </row>
    <row r="28" ht="14.25" spans="1:10">
      <c r="A28" s="2">
        <v>19</v>
      </c>
      <c r="B28" s="3" t="s">
        <v>46</v>
      </c>
      <c r="C28" s="3" t="s">
        <v>46</v>
      </c>
      <c r="D28" s="3" t="s">
        <v>47</v>
      </c>
      <c r="E28" s="3" t="s">
        <v>26</v>
      </c>
      <c r="F28" s="4">
        <v>20864</v>
      </c>
      <c r="G28" s="4">
        <v>74560</v>
      </c>
      <c r="H28" s="4">
        <f t="shared" si="0"/>
        <v>0.279828326180257</v>
      </c>
      <c r="J28" s="6"/>
    </row>
    <row r="29" ht="14.25" spans="1:10">
      <c r="A29" s="2">
        <v>20</v>
      </c>
      <c r="B29" s="3" t="s">
        <v>48</v>
      </c>
      <c r="C29" s="3" t="s">
        <v>48</v>
      </c>
      <c r="D29" s="3" t="s">
        <v>49</v>
      </c>
      <c r="E29" s="3" t="s">
        <v>26</v>
      </c>
      <c r="F29" s="4">
        <v>14848</v>
      </c>
      <c r="G29" s="4">
        <v>74560</v>
      </c>
      <c r="H29" s="4">
        <f t="shared" si="0"/>
        <v>0.199141630901288</v>
      </c>
      <c r="J29" s="6"/>
    </row>
    <row r="30" ht="14.25" spans="1:10">
      <c r="A30" s="2">
        <v>21</v>
      </c>
      <c r="B30" s="3" t="s">
        <v>50</v>
      </c>
      <c r="C30" s="3" t="s">
        <v>50</v>
      </c>
      <c r="D30" s="3" t="s">
        <v>51</v>
      </c>
      <c r="E30" s="3" t="s">
        <v>26</v>
      </c>
      <c r="F30" s="4">
        <v>11008</v>
      </c>
      <c r="G30" s="4">
        <v>74560</v>
      </c>
      <c r="H30" s="4">
        <f t="shared" si="0"/>
        <v>0.147639484978541</v>
      </c>
      <c r="J30" s="6"/>
    </row>
    <row r="31" ht="14.25" spans="1:10">
      <c r="A31" s="2">
        <v>22</v>
      </c>
      <c r="B31" s="3" t="s">
        <v>52</v>
      </c>
      <c r="C31" s="3" t="s">
        <v>52</v>
      </c>
      <c r="D31" s="3" t="s">
        <v>53</v>
      </c>
      <c r="E31" s="3" t="s">
        <v>26</v>
      </c>
      <c r="F31" s="4">
        <v>9216</v>
      </c>
      <c r="G31" s="4">
        <v>74560</v>
      </c>
      <c r="H31" s="4">
        <f t="shared" si="0"/>
        <v>0.123605150214592</v>
      </c>
      <c r="J31" s="6"/>
    </row>
    <row r="32" ht="14.25" spans="1:10">
      <c r="A32" s="2">
        <v>23</v>
      </c>
      <c r="B32" s="3" t="s">
        <v>54</v>
      </c>
      <c r="C32" s="3" t="s">
        <v>54</v>
      </c>
      <c r="D32" s="3" t="s">
        <v>55</v>
      </c>
      <c r="E32" s="3" t="s">
        <v>26</v>
      </c>
      <c r="F32" s="4">
        <v>7680</v>
      </c>
      <c r="G32" s="4">
        <v>74560</v>
      </c>
      <c r="H32" s="4">
        <f t="shared" si="0"/>
        <v>0.103004291845494</v>
      </c>
      <c r="J32" s="6"/>
    </row>
    <row r="33" ht="14.25" spans="1:10">
      <c r="A33" s="2">
        <v>24</v>
      </c>
      <c r="B33" s="3" t="s">
        <v>56</v>
      </c>
      <c r="C33" s="3" t="s">
        <v>56</v>
      </c>
      <c r="D33" s="3" t="s">
        <v>57</v>
      </c>
      <c r="E33" s="3" t="s">
        <v>26</v>
      </c>
      <c r="F33" s="4">
        <v>768</v>
      </c>
      <c r="G33" s="4">
        <v>74560</v>
      </c>
      <c r="H33" s="4">
        <f t="shared" si="0"/>
        <v>0.0103004291845494</v>
      </c>
      <c r="J33" s="6"/>
    </row>
    <row r="34" ht="14.25" spans="1:10">
      <c r="A34" s="2">
        <v>25</v>
      </c>
      <c r="B34" s="3" t="s">
        <v>58</v>
      </c>
      <c r="C34" s="3" t="s">
        <v>58</v>
      </c>
      <c r="D34" s="3" t="s">
        <v>59</v>
      </c>
      <c r="E34" s="3" t="s">
        <v>26</v>
      </c>
      <c r="F34" s="4">
        <v>192</v>
      </c>
      <c r="G34" s="4">
        <v>74560</v>
      </c>
      <c r="H34" s="4">
        <f t="shared" si="0"/>
        <v>0.00257510729613734</v>
      </c>
      <c r="J34" s="7"/>
    </row>
    <row r="35" ht="14.25" spans="1:10">
      <c r="A35" s="2">
        <v>26</v>
      </c>
      <c r="B35" s="5" t="s">
        <v>60</v>
      </c>
      <c r="C35" s="5" t="s">
        <v>60</v>
      </c>
      <c r="D35" s="3" t="s">
        <v>10</v>
      </c>
      <c r="E35" s="3" t="s">
        <v>26</v>
      </c>
      <c r="F35" s="4">
        <v>192</v>
      </c>
      <c r="G35" s="4">
        <v>74560</v>
      </c>
      <c r="H35" s="4">
        <f t="shared" ref="H35:H66" si="1">F35/G35</f>
        <v>0.00257510729613734</v>
      </c>
      <c r="J35" s="7"/>
    </row>
    <row r="36" ht="14.25" spans="1:10">
      <c r="A36" s="2">
        <v>1</v>
      </c>
      <c r="B36" s="8" t="s">
        <v>61</v>
      </c>
      <c r="C36" s="8" t="s">
        <v>61</v>
      </c>
      <c r="D36" s="3" t="s">
        <v>62</v>
      </c>
      <c r="E36" s="3" t="s">
        <v>63</v>
      </c>
      <c r="F36" s="4">
        <v>793740</v>
      </c>
      <c r="G36" s="4">
        <v>1190628</v>
      </c>
      <c r="H36" s="4">
        <f t="shared" si="1"/>
        <v>0.666656587951904</v>
      </c>
    </row>
    <row r="37" ht="14.25" spans="1:10">
      <c r="A37" s="2">
        <v>2</v>
      </c>
      <c r="B37" s="3" t="s">
        <v>64</v>
      </c>
      <c r="C37" s="3" t="s">
        <v>64</v>
      </c>
      <c r="D37" s="3" t="s">
        <v>9</v>
      </c>
      <c r="E37" s="3" t="s">
        <v>63</v>
      </c>
      <c r="F37" s="4">
        <v>735136</v>
      </c>
      <c r="G37" s="4">
        <v>1190628</v>
      </c>
      <c r="H37" s="4">
        <f t="shared" si="1"/>
        <v>0.61743550462445</v>
      </c>
      <c r="J37" s="6"/>
    </row>
    <row r="38" ht="14.25" spans="1:10">
      <c r="A38" s="2">
        <v>3</v>
      </c>
      <c r="B38" s="3" t="s">
        <v>22</v>
      </c>
      <c r="C38" s="3" t="s">
        <v>22</v>
      </c>
      <c r="D38" s="3" t="s">
        <v>23</v>
      </c>
      <c r="E38" s="3" t="s">
        <v>63</v>
      </c>
      <c r="F38" s="4">
        <v>595462</v>
      </c>
      <c r="G38" s="4">
        <v>1190628</v>
      </c>
      <c r="H38" s="4">
        <f t="shared" si="1"/>
        <v>0.500124304148735</v>
      </c>
      <c r="J38" s="6"/>
    </row>
    <row r="39" ht="14.25" spans="1:10">
      <c r="A39" s="2">
        <v>4</v>
      </c>
      <c r="B39" s="5" t="s">
        <v>15</v>
      </c>
      <c r="C39" s="5" t="s">
        <v>15</v>
      </c>
      <c r="D39" s="3" t="s">
        <v>16</v>
      </c>
      <c r="E39" s="3" t="s">
        <v>63</v>
      </c>
      <c r="F39" s="4">
        <v>595314</v>
      </c>
      <c r="G39" s="4">
        <v>1190628</v>
      </c>
      <c r="H39" s="4">
        <f t="shared" si="1"/>
        <v>0.5</v>
      </c>
      <c r="J39" s="6"/>
    </row>
    <row r="40" ht="14.25" spans="1:10">
      <c r="A40" s="2">
        <v>5</v>
      </c>
      <c r="B40" s="3" t="s">
        <v>31</v>
      </c>
      <c r="C40" s="3" t="s">
        <v>31</v>
      </c>
      <c r="D40" s="3" t="s">
        <v>32</v>
      </c>
      <c r="E40" s="3" t="s">
        <v>63</v>
      </c>
      <c r="F40" s="4">
        <v>593012</v>
      </c>
      <c r="G40" s="4">
        <v>1190628</v>
      </c>
      <c r="H40" s="4">
        <f t="shared" si="1"/>
        <v>0.498066566551433</v>
      </c>
      <c r="J40" s="6"/>
    </row>
    <row r="41" ht="14.25" spans="1:10">
      <c r="A41" s="2">
        <v>6</v>
      </c>
      <c r="B41" s="3" t="s">
        <v>37</v>
      </c>
      <c r="C41" s="3" t="s">
        <v>37</v>
      </c>
      <c r="D41" s="3" t="s">
        <v>38</v>
      </c>
      <c r="E41" s="3" t="s">
        <v>63</v>
      </c>
      <c r="F41" s="4">
        <v>584554</v>
      </c>
      <c r="G41" s="4">
        <v>1190628</v>
      </c>
      <c r="H41" s="4">
        <f t="shared" si="1"/>
        <v>0.49096275242981</v>
      </c>
      <c r="J41" s="6"/>
    </row>
    <row r="42" ht="14.25" spans="1:10">
      <c r="A42" s="2">
        <v>7</v>
      </c>
      <c r="B42" s="5" t="s">
        <v>17</v>
      </c>
      <c r="C42" s="5" t="s">
        <v>17</v>
      </c>
      <c r="D42" s="3" t="s">
        <v>9</v>
      </c>
      <c r="E42" s="3" t="s">
        <v>63</v>
      </c>
      <c r="F42" s="4">
        <v>584316</v>
      </c>
      <c r="G42" s="4">
        <v>1190628</v>
      </c>
      <c r="H42" s="4">
        <f t="shared" si="1"/>
        <v>0.490762857920358</v>
      </c>
      <c r="J42" s="6"/>
    </row>
    <row r="43" ht="14.25" spans="1:10">
      <c r="A43" s="2">
        <v>8</v>
      </c>
      <c r="B43" s="3" t="s">
        <v>44</v>
      </c>
      <c r="C43" s="3" t="s">
        <v>44</v>
      </c>
      <c r="D43" s="3" t="s">
        <v>45</v>
      </c>
      <c r="E43" s="3" t="s">
        <v>63</v>
      </c>
      <c r="F43" s="4">
        <v>570384</v>
      </c>
      <c r="G43" s="4">
        <v>1190628</v>
      </c>
      <c r="H43" s="4">
        <f t="shared" si="1"/>
        <v>0.479061470081335</v>
      </c>
      <c r="J43" s="6"/>
    </row>
    <row r="44" ht="14.25" spans="1:10">
      <c r="A44" s="2">
        <v>9</v>
      </c>
      <c r="B44" s="5" t="s">
        <v>20</v>
      </c>
      <c r="C44" s="5" t="s">
        <v>20</v>
      </c>
      <c r="D44" s="3" t="s">
        <v>21</v>
      </c>
      <c r="E44" s="3" t="s">
        <v>63</v>
      </c>
      <c r="F44" s="4">
        <v>551580</v>
      </c>
      <c r="G44" s="4">
        <v>1190628</v>
      </c>
      <c r="H44" s="4">
        <f t="shared" si="1"/>
        <v>0.463268124048821</v>
      </c>
      <c r="J44" s="6"/>
    </row>
    <row r="45" ht="14.25" spans="1:10">
      <c r="A45" s="2">
        <v>10</v>
      </c>
      <c r="B45" s="3" t="s">
        <v>39</v>
      </c>
      <c r="C45" s="3" t="s">
        <v>39</v>
      </c>
      <c r="D45" s="3" t="s">
        <v>40</v>
      </c>
      <c r="E45" s="3" t="s">
        <v>63</v>
      </c>
      <c r="F45" s="4">
        <v>546074</v>
      </c>
      <c r="G45" s="4">
        <v>1190628</v>
      </c>
      <c r="H45" s="4">
        <f t="shared" si="1"/>
        <v>0.458643673758722</v>
      </c>
      <c r="J45" s="6"/>
    </row>
    <row r="46" ht="14.25" spans="1:10">
      <c r="A46" s="2">
        <v>11</v>
      </c>
      <c r="B46" s="3" t="s">
        <v>41</v>
      </c>
      <c r="C46" s="3" t="s">
        <v>41</v>
      </c>
      <c r="D46" s="3" t="s">
        <v>9</v>
      </c>
      <c r="E46" s="3" t="s">
        <v>63</v>
      </c>
      <c r="F46" s="4">
        <v>532832</v>
      </c>
      <c r="G46" s="4">
        <v>1190628</v>
      </c>
      <c r="H46" s="4">
        <f t="shared" si="1"/>
        <v>0.447521812018531</v>
      </c>
      <c r="J46" s="6"/>
    </row>
    <row r="47" ht="14.25" spans="1:10">
      <c r="A47" s="2">
        <v>12</v>
      </c>
      <c r="B47" s="3" t="s">
        <v>18</v>
      </c>
      <c r="C47" s="3" t="s">
        <v>18</v>
      </c>
      <c r="D47" s="3" t="s">
        <v>19</v>
      </c>
      <c r="E47" s="3" t="s">
        <v>63</v>
      </c>
      <c r="F47" s="4">
        <v>521476</v>
      </c>
      <c r="G47" s="4">
        <v>1190628</v>
      </c>
      <c r="H47" s="4">
        <f t="shared" si="1"/>
        <v>0.437983988281814</v>
      </c>
      <c r="J47" s="6"/>
    </row>
    <row r="48" ht="14.25" spans="1:10">
      <c r="A48" s="2">
        <v>13</v>
      </c>
      <c r="B48" s="3" t="s">
        <v>52</v>
      </c>
      <c r="C48" s="3" t="s">
        <v>52</v>
      </c>
      <c r="D48" s="3" t="s">
        <v>53</v>
      </c>
      <c r="E48" s="3" t="s">
        <v>63</v>
      </c>
      <c r="F48" s="4">
        <v>514780</v>
      </c>
      <c r="G48" s="4">
        <v>1190628</v>
      </c>
      <c r="H48" s="4">
        <f t="shared" si="1"/>
        <v>0.432360065444455</v>
      </c>
      <c r="J48" s="6"/>
    </row>
    <row r="49" ht="14.25" spans="1:10">
      <c r="A49" s="2">
        <v>14</v>
      </c>
      <c r="B49" s="3" t="s">
        <v>28</v>
      </c>
      <c r="C49" s="3" t="s">
        <v>28</v>
      </c>
      <c r="D49" s="3" t="s">
        <v>9</v>
      </c>
      <c r="E49" s="3" t="s">
        <v>63</v>
      </c>
      <c r="F49" s="4">
        <v>488328</v>
      </c>
      <c r="G49" s="4">
        <v>1190628</v>
      </c>
      <c r="H49" s="4">
        <f t="shared" si="1"/>
        <v>0.410143218536772</v>
      </c>
      <c r="J49" s="6"/>
    </row>
    <row r="50" ht="14.25" spans="1:10">
      <c r="A50" s="2">
        <v>15</v>
      </c>
      <c r="B50" s="5" t="s">
        <v>29</v>
      </c>
      <c r="C50" s="5" t="s">
        <v>29</v>
      </c>
      <c r="D50" s="3" t="s">
        <v>30</v>
      </c>
      <c r="E50" s="3" t="s">
        <v>63</v>
      </c>
      <c r="F50" s="4">
        <v>467634</v>
      </c>
      <c r="G50" s="4">
        <v>1190628</v>
      </c>
      <c r="H50" s="4">
        <f t="shared" si="1"/>
        <v>0.392762474929197</v>
      </c>
      <c r="J50" s="6"/>
    </row>
    <row r="51" ht="14.25" spans="1:10">
      <c r="A51" s="2">
        <v>16</v>
      </c>
      <c r="B51" s="3" t="s">
        <v>33</v>
      </c>
      <c r="C51" s="3" t="s">
        <v>33</v>
      </c>
      <c r="D51" s="3" t="s">
        <v>34</v>
      </c>
      <c r="E51" s="3" t="s">
        <v>63</v>
      </c>
      <c r="F51" s="4">
        <v>464280</v>
      </c>
      <c r="G51" s="4">
        <v>1190628</v>
      </c>
      <c r="H51" s="4">
        <f t="shared" si="1"/>
        <v>0.389945474153136</v>
      </c>
      <c r="J51" s="6"/>
    </row>
    <row r="52" ht="14.25" spans="1:10">
      <c r="A52" s="2">
        <v>17</v>
      </c>
      <c r="B52" s="3" t="s">
        <v>48</v>
      </c>
      <c r="C52" s="3" t="s">
        <v>48</v>
      </c>
      <c r="D52" s="3" t="s">
        <v>49</v>
      </c>
      <c r="E52" s="3" t="s">
        <v>63</v>
      </c>
      <c r="F52" s="4">
        <v>436172</v>
      </c>
      <c r="G52" s="4">
        <v>1190628</v>
      </c>
      <c r="H52" s="4">
        <f t="shared" si="1"/>
        <v>0.366337764608257</v>
      </c>
      <c r="J52" s="6"/>
    </row>
    <row r="53" ht="14.25" spans="1:10">
      <c r="A53" s="2">
        <v>18</v>
      </c>
      <c r="B53" s="5" t="s">
        <v>35</v>
      </c>
      <c r="C53" s="5" t="s">
        <v>35</v>
      </c>
      <c r="D53" s="3" t="s">
        <v>36</v>
      </c>
      <c r="E53" s="3" t="s">
        <v>63</v>
      </c>
      <c r="F53" s="4">
        <v>409656</v>
      </c>
      <c r="G53" s="4">
        <v>1190628</v>
      </c>
      <c r="H53" s="4">
        <f t="shared" si="1"/>
        <v>0.344067164555176</v>
      </c>
      <c r="J53" s="6"/>
    </row>
    <row r="54" ht="14.25" spans="1:10">
      <c r="A54" s="2">
        <v>19</v>
      </c>
      <c r="B54" s="3" t="s">
        <v>54</v>
      </c>
      <c r="C54" s="3" t="s">
        <v>54</v>
      </c>
      <c r="D54" s="3" t="s">
        <v>55</v>
      </c>
      <c r="E54" s="3" t="s">
        <v>63</v>
      </c>
      <c r="F54" s="4">
        <v>346808</v>
      </c>
      <c r="G54" s="4">
        <v>1190628</v>
      </c>
      <c r="H54" s="4">
        <f t="shared" si="1"/>
        <v>0.291281575773457</v>
      </c>
      <c r="J54" s="6"/>
    </row>
    <row r="55" ht="14.25" spans="1:10">
      <c r="A55" s="2">
        <v>20</v>
      </c>
      <c r="B55" s="3" t="s">
        <v>56</v>
      </c>
      <c r="C55" s="3" t="s">
        <v>56</v>
      </c>
      <c r="D55" s="3" t="s">
        <v>57</v>
      </c>
      <c r="E55" s="3" t="s">
        <v>63</v>
      </c>
      <c r="F55" s="4">
        <v>321012</v>
      </c>
      <c r="G55" s="4">
        <v>1190628</v>
      </c>
      <c r="H55" s="4">
        <f t="shared" si="1"/>
        <v>0.269615698606114</v>
      </c>
      <c r="J55" s="6"/>
    </row>
    <row r="56" ht="14.25" spans="1:10">
      <c r="A56" s="2">
        <v>21</v>
      </c>
      <c r="B56" s="5" t="s">
        <v>65</v>
      </c>
      <c r="C56" s="5" t="s">
        <v>65</v>
      </c>
      <c r="D56" s="3" t="s">
        <v>19</v>
      </c>
      <c r="E56" s="3" t="s">
        <v>63</v>
      </c>
      <c r="F56" s="4">
        <v>241488</v>
      </c>
      <c r="G56" s="4">
        <v>1190628</v>
      </c>
      <c r="H56" s="4">
        <f t="shared" si="1"/>
        <v>0.202824055876395</v>
      </c>
      <c r="J56" s="6"/>
    </row>
    <row r="57" ht="14.25" spans="1:10">
      <c r="A57" s="2">
        <v>22</v>
      </c>
      <c r="B57" s="5" t="s">
        <v>66</v>
      </c>
      <c r="C57" s="5" t="s">
        <v>66</v>
      </c>
      <c r="D57" s="3" t="s">
        <v>67</v>
      </c>
      <c r="E57" s="3" t="s">
        <v>63</v>
      </c>
      <c r="F57" s="4">
        <v>180952</v>
      </c>
      <c r="G57" s="4">
        <v>1190628</v>
      </c>
      <c r="H57" s="4">
        <f t="shared" si="1"/>
        <v>0.151980299472211</v>
      </c>
      <c r="J57" s="6"/>
    </row>
    <row r="58" ht="14.25" spans="1:10">
      <c r="A58" s="2">
        <v>23</v>
      </c>
      <c r="B58" s="3" t="s">
        <v>68</v>
      </c>
      <c r="C58" s="3" t="s">
        <v>68</v>
      </c>
      <c r="D58" s="3" t="s">
        <v>69</v>
      </c>
      <c r="E58" s="3" t="s">
        <v>63</v>
      </c>
      <c r="F58" s="4">
        <v>132800</v>
      </c>
      <c r="G58" s="4">
        <v>1190628</v>
      </c>
      <c r="H58" s="4">
        <f t="shared" si="1"/>
        <v>0.111537776702715</v>
      </c>
      <c r="J58" s="6"/>
    </row>
    <row r="59" ht="14.25" spans="1:10">
      <c r="A59" s="2">
        <v>24</v>
      </c>
      <c r="B59" s="5" t="s">
        <v>70</v>
      </c>
      <c r="C59" s="5" t="s">
        <v>70</v>
      </c>
      <c r="D59" s="3" t="s">
        <v>9</v>
      </c>
      <c r="E59" s="3" t="s">
        <v>63</v>
      </c>
      <c r="F59" s="4">
        <v>126688</v>
      </c>
      <c r="G59" s="4">
        <v>1190628</v>
      </c>
      <c r="H59" s="4">
        <f t="shared" si="1"/>
        <v>0.10640435131712</v>
      </c>
      <c r="J59" s="6"/>
    </row>
    <row r="60" ht="14.25" spans="1:10">
      <c r="A60" s="2">
        <v>25</v>
      </c>
      <c r="B60" s="3" t="s">
        <v>46</v>
      </c>
      <c r="C60" s="3" t="s">
        <v>46</v>
      </c>
      <c r="D60" s="3" t="s">
        <v>47</v>
      </c>
      <c r="E60" s="3" t="s">
        <v>63</v>
      </c>
      <c r="F60" s="4">
        <v>90376</v>
      </c>
      <c r="G60" s="4">
        <v>1190628</v>
      </c>
      <c r="H60" s="4">
        <f t="shared" si="1"/>
        <v>0.0759061604464199</v>
      </c>
      <c r="J60" s="6"/>
    </row>
    <row r="61" ht="14.25" spans="1:10">
      <c r="A61" s="2">
        <v>26</v>
      </c>
      <c r="B61" s="3" t="s">
        <v>42</v>
      </c>
      <c r="C61" s="3" t="s">
        <v>42</v>
      </c>
      <c r="D61" s="3" t="s">
        <v>43</v>
      </c>
      <c r="E61" s="3" t="s">
        <v>63</v>
      </c>
      <c r="F61" s="4">
        <v>54720</v>
      </c>
      <c r="G61" s="4">
        <v>1190628</v>
      </c>
      <c r="H61" s="4">
        <f t="shared" si="1"/>
        <v>0.0459589393160584</v>
      </c>
      <c r="J61" s="6"/>
    </row>
    <row r="62" ht="14.25" spans="1:10">
      <c r="A62" s="2">
        <v>27</v>
      </c>
      <c r="B62" s="3" t="s">
        <v>71</v>
      </c>
      <c r="C62" s="3" t="s">
        <v>71</v>
      </c>
      <c r="D62" s="3" t="s">
        <v>23</v>
      </c>
      <c r="E62" s="3" t="s">
        <v>63</v>
      </c>
      <c r="F62" s="4">
        <v>43636</v>
      </c>
      <c r="G62" s="4">
        <v>1190628</v>
      </c>
      <c r="H62" s="4">
        <f t="shared" si="1"/>
        <v>0.0366495664472866</v>
      </c>
      <c r="J62" s="6"/>
    </row>
    <row r="63" ht="14.25" spans="1:10">
      <c r="A63" s="2">
        <v>28</v>
      </c>
      <c r="B63" s="3" t="s">
        <v>24</v>
      </c>
      <c r="C63" s="3" t="s">
        <v>24</v>
      </c>
      <c r="D63" s="3" t="s">
        <v>25</v>
      </c>
      <c r="E63" s="3" t="s">
        <v>63</v>
      </c>
      <c r="F63" s="4">
        <v>34184</v>
      </c>
      <c r="G63" s="4">
        <v>1190628</v>
      </c>
      <c r="H63" s="4">
        <f t="shared" si="1"/>
        <v>0.0287108987861868</v>
      </c>
      <c r="J63" s="6"/>
    </row>
    <row r="64" ht="14.25" spans="1:10">
      <c r="A64" s="2">
        <v>29</v>
      </c>
      <c r="B64" s="5" t="s">
        <v>72</v>
      </c>
      <c r="C64" s="5" t="s">
        <v>72</v>
      </c>
      <c r="D64" s="3" t="s">
        <v>9</v>
      </c>
      <c r="E64" s="3" t="s">
        <v>63</v>
      </c>
      <c r="F64" s="4">
        <v>33472</v>
      </c>
      <c r="G64" s="4">
        <v>1190628</v>
      </c>
      <c r="H64" s="4">
        <f t="shared" si="1"/>
        <v>0.028112895043624</v>
      </c>
      <c r="J64" s="6"/>
    </row>
    <row r="65" ht="14.25" spans="1:10">
      <c r="A65" s="2">
        <v>30</v>
      </c>
      <c r="B65" s="3" t="s">
        <v>58</v>
      </c>
      <c r="C65" s="3" t="s">
        <v>58</v>
      </c>
      <c r="D65" s="3" t="s">
        <v>59</v>
      </c>
      <c r="E65" s="3" t="s">
        <v>63</v>
      </c>
      <c r="F65" s="4">
        <v>28088</v>
      </c>
      <c r="G65" s="4">
        <v>1190628</v>
      </c>
      <c r="H65" s="4">
        <f t="shared" si="1"/>
        <v>0.0235909116869417</v>
      </c>
      <c r="J65" s="6"/>
    </row>
    <row r="66" ht="14.25" spans="1:10">
      <c r="A66" s="2">
        <v>31</v>
      </c>
      <c r="B66" s="3" t="s">
        <v>73</v>
      </c>
      <c r="C66" s="3" t="s">
        <v>73</v>
      </c>
      <c r="D66" s="3" t="s">
        <v>74</v>
      </c>
      <c r="E66" s="3" t="s">
        <v>63</v>
      </c>
      <c r="F66" s="4">
        <v>12500</v>
      </c>
      <c r="G66" s="4">
        <v>1190628</v>
      </c>
      <c r="H66" s="4">
        <f t="shared" si="1"/>
        <v>0.0104986612107224</v>
      </c>
      <c r="J66" s="6"/>
    </row>
    <row r="67" ht="14.25" spans="1:10">
      <c r="A67" s="2">
        <v>32</v>
      </c>
      <c r="B67" s="3" t="s">
        <v>75</v>
      </c>
      <c r="C67" s="3" t="s">
        <v>75</v>
      </c>
      <c r="D67" s="3" t="s">
        <v>76</v>
      </c>
      <c r="E67" s="3" t="s">
        <v>63</v>
      </c>
      <c r="F67" s="4">
        <v>11792</v>
      </c>
      <c r="G67" s="4">
        <v>1190628</v>
      </c>
      <c r="H67" s="4">
        <f t="shared" ref="H67:H86" si="2">F67/G67</f>
        <v>0.00990401703974709</v>
      </c>
      <c r="J67" s="6"/>
    </row>
    <row r="68" ht="14.25" spans="1:10">
      <c r="A68" s="2">
        <v>33</v>
      </c>
      <c r="B68" s="5" t="s">
        <v>77</v>
      </c>
      <c r="C68" s="5" t="s">
        <v>77</v>
      </c>
      <c r="D68" s="3" t="s">
        <v>78</v>
      </c>
      <c r="E68" s="3" t="s">
        <v>63</v>
      </c>
      <c r="F68" s="4">
        <v>7232</v>
      </c>
      <c r="G68" s="4">
        <v>1190628</v>
      </c>
      <c r="H68" s="4">
        <f t="shared" si="2"/>
        <v>0.00607410543007556</v>
      </c>
      <c r="J68" s="7"/>
    </row>
    <row r="69" ht="14.25" spans="1:10">
      <c r="A69" s="2">
        <v>34</v>
      </c>
      <c r="B69" s="5" t="s">
        <v>79</v>
      </c>
      <c r="C69" s="5" t="s">
        <v>79</v>
      </c>
      <c r="D69" s="3" t="s">
        <v>9</v>
      </c>
      <c r="E69" s="3" t="s">
        <v>63</v>
      </c>
      <c r="F69" s="4">
        <v>6680</v>
      </c>
      <c r="G69" s="4">
        <v>1190628</v>
      </c>
      <c r="H69" s="4">
        <f t="shared" si="2"/>
        <v>0.00561048455101006</v>
      </c>
      <c r="J69" s="7"/>
    </row>
    <row r="70" ht="14.25" spans="1:10">
      <c r="A70" s="2">
        <v>35</v>
      </c>
      <c r="B70" s="3" t="s">
        <v>80</v>
      </c>
      <c r="C70" s="3" t="s">
        <v>80</v>
      </c>
      <c r="D70" s="3" t="s">
        <v>81</v>
      </c>
      <c r="E70" s="3" t="s">
        <v>63</v>
      </c>
      <c r="F70" s="4">
        <v>6144</v>
      </c>
      <c r="G70" s="4">
        <v>1190628</v>
      </c>
      <c r="H70" s="4">
        <f t="shared" si="2"/>
        <v>0.00516030195829428</v>
      </c>
      <c r="J70" s="7"/>
    </row>
    <row r="71" ht="14.25" spans="1:10">
      <c r="A71" s="2">
        <v>36</v>
      </c>
      <c r="B71" s="3" t="s">
        <v>82</v>
      </c>
      <c r="C71" s="3" t="s">
        <v>82</v>
      </c>
      <c r="D71" s="3" t="s">
        <v>83</v>
      </c>
      <c r="E71" s="3" t="s">
        <v>63</v>
      </c>
      <c r="F71" s="4">
        <v>5836</v>
      </c>
      <c r="G71" s="4">
        <v>1190628</v>
      </c>
      <c r="H71" s="4">
        <f t="shared" si="2"/>
        <v>0.00490161494606208</v>
      </c>
      <c r="J71" s="7"/>
    </row>
    <row r="72" ht="14.25" spans="1:10">
      <c r="A72" s="2">
        <v>37</v>
      </c>
      <c r="B72" s="3" t="s">
        <v>8</v>
      </c>
      <c r="C72" s="3" t="s">
        <v>8</v>
      </c>
      <c r="D72" s="3" t="s">
        <v>9</v>
      </c>
      <c r="E72" s="3" t="s">
        <v>63</v>
      </c>
      <c r="F72" s="4">
        <v>4160</v>
      </c>
      <c r="G72" s="4">
        <v>1190628</v>
      </c>
      <c r="H72" s="4">
        <f t="shared" si="2"/>
        <v>0.00349395445092842</v>
      </c>
      <c r="J72" s="7"/>
    </row>
    <row r="73" ht="14.25" spans="1:10">
      <c r="A73" s="2">
        <v>38</v>
      </c>
      <c r="B73" s="5" t="s">
        <v>27</v>
      </c>
      <c r="C73" s="5" t="s">
        <v>27</v>
      </c>
      <c r="D73" s="3" t="s">
        <v>9</v>
      </c>
      <c r="E73" s="3" t="s">
        <v>63</v>
      </c>
      <c r="F73" s="4">
        <v>3648</v>
      </c>
      <c r="G73" s="4">
        <v>1190628</v>
      </c>
      <c r="H73" s="4">
        <f t="shared" si="2"/>
        <v>0.00306392928773723</v>
      </c>
      <c r="J73" s="7"/>
    </row>
    <row r="74" ht="14.25" spans="1:10">
      <c r="A74" s="2">
        <v>39</v>
      </c>
      <c r="B74" s="3" t="s">
        <v>84</v>
      </c>
      <c r="C74" s="3" t="s">
        <v>84</v>
      </c>
      <c r="D74" s="3" t="s">
        <v>9</v>
      </c>
      <c r="E74" s="3" t="s">
        <v>63</v>
      </c>
      <c r="F74" s="4">
        <v>2072</v>
      </c>
      <c r="G74" s="4">
        <v>1190628</v>
      </c>
      <c r="H74" s="4">
        <f t="shared" si="2"/>
        <v>0.00174025808228935</v>
      </c>
      <c r="J74" s="7"/>
    </row>
    <row r="75" ht="14.25" spans="1:10">
      <c r="A75" s="2">
        <v>40</v>
      </c>
      <c r="B75" s="5" t="s">
        <v>85</v>
      </c>
      <c r="C75" s="5" t="s">
        <v>85</v>
      </c>
      <c r="D75" s="3" t="s">
        <v>9</v>
      </c>
      <c r="E75" s="3" t="s">
        <v>63</v>
      </c>
      <c r="F75" s="4">
        <v>2048</v>
      </c>
      <c r="G75" s="4">
        <v>1190628</v>
      </c>
      <c r="H75" s="4">
        <f t="shared" si="2"/>
        <v>0.00172010065276476</v>
      </c>
      <c r="J75" s="7"/>
    </row>
    <row r="76" ht="14.25" spans="1:10">
      <c r="A76" s="2">
        <v>41</v>
      </c>
      <c r="B76" s="5" t="s">
        <v>86</v>
      </c>
      <c r="C76" s="5" t="s">
        <v>86</v>
      </c>
      <c r="D76" s="3" t="s">
        <v>9</v>
      </c>
      <c r="E76" s="3" t="s">
        <v>63</v>
      </c>
      <c r="F76" s="4">
        <v>1728</v>
      </c>
      <c r="G76" s="4">
        <v>1190628</v>
      </c>
      <c r="H76" s="4">
        <f t="shared" si="2"/>
        <v>0.00145133492577027</v>
      </c>
      <c r="J76" s="7"/>
    </row>
    <row r="77" ht="14.25" spans="1:10">
      <c r="A77" s="2">
        <v>42</v>
      </c>
      <c r="B77" s="3" t="s">
        <v>87</v>
      </c>
      <c r="C77" s="3" t="s">
        <v>87</v>
      </c>
      <c r="D77" s="3" t="s">
        <v>88</v>
      </c>
      <c r="E77" s="3" t="s">
        <v>63</v>
      </c>
      <c r="F77" s="4">
        <v>1232</v>
      </c>
      <c r="G77" s="4">
        <v>1190628</v>
      </c>
      <c r="H77" s="4">
        <f t="shared" si="2"/>
        <v>0.0010347480489288</v>
      </c>
      <c r="J77" s="7"/>
    </row>
    <row r="78" ht="14.25" spans="1:10">
      <c r="A78" s="2">
        <v>43</v>
      </c>
      <c r="B78" s="3" t="s">
        <v>89</v>
      </c>
      <c r="C78" s="3" t="s">
        <v>89</v>
      </c>
      <c r="D78" s="3" t="s">
        <v>43</v>
      </c>
      <c r="E78" s="3" t="s">
        <v>63</v>
      </c>
      <c r="F78" s="4">
        <v>1096</v>
      </c>
      <c r="G78" s="4">
        <v>1190628</v>
      </c>
      <c r="H78" s="4">
        <f t="shared" si="2"/>
        <v>0.000920522614956141</v>
      </c>
      <c r="J78" s="7"/>
    </row>
    <row r="79" ht="14.25" spans="1:10">
      <c r="A79" s="2">
        <v>44</v>
      </c>
      <c r="B79" s="5" t="s">
        <v>90</v>
      </c>
      <c r="C79" s="5" t="s">
        <v>90</v>
      </c>
      <c r="D79" s="3" t="s">
        <v>91</v>
      </c>
      <c r="E79" s="3" t="s">
        <v>63</v>
      </c>
      <c r="F79" s="4">
        <v>1024</v>
      </c>
      <c r="G79" s="4">
        <v>1190628</v>
      </c>
      <c r="H79" s="4">
        <f t="shared" si="2"/>
        <v>0.00086005032638238</v>
      </c>
      <c r="J79" s="7"/>
    </row>
    <row r="80" ht="14.25" spans="1:10">
      <c r="A80" s="2">
        <v>45</v>
      </c>
      <c r="B80" s="5" t="s">
        <v>92</v>
      </c>
      <c r="C80" s="5" t="s">
        <v>92</v>
      </c>
      <c r="D80" s="3" t="s">
        <v>9</v>
      </c>
      <c r="E80" s="3" t="s">
        <v>63</v>
      </c>
      <c r="F80" s="4">
        <v>792</v>
      </c>
      <c r="G80" s="4">
        <v>1190628</v>
      </c>
      <c r="H80" s="4">
        <f t="shared" si="2"/>
        <v>0.000665195174311372</v>
      </c>
      <c r="J80" s="7"/>
    </row>
    <row r="81" ht="14.25" spans="1:10">
      <c r="A81" s="2">
        <v>46</v>
      </c>
      <c r="B81" s="3" t="s">
        <v>93</v>
      </c>
      <c r="C81" s="3" t="s">
        <v>93</v>
      </c>
      <c r="D81" s="3" t="s">
        <v>94</v>
      </c>
      <c r="E81" s="3" t="s">
        <v>63</v>
      </c>
      <c r="F81" s="4">
        <v>768</v>
      </c>
      <c r="G81" s="4">
        <v>1190628</v>
      </c>
      <c r="H81" s="4">
        <f t="shared" si="2"/>
        <v>0.000645037744786785</v>
      </c>
      <c r="J81" s="7"/>
    </row>
    <row r="82" ht="14.25" spans="1:10">
      <c r="A82" s="2">
        <v>47</v>
      </c>
      <c r="B82" s="5" t="s">
        <v>13</v>
      </c>
      <c r="C82" s="5" t="s">
        <v>13</v>
      </c>
      <c r="D82" s="3" t="s">
        <v>14</v>
      </c>
      <c r="E82" s="3" t="s">
        <v>63</v>
      </c>
      <c r="F82" s="4">
        <v>736</v>
      </c>
      <c r="G82" s="4">
        <v>1190628</v>
      </c>
      <c r="H82" s="4">
        <f t="shared" si="2"/>
        <v>0.000618161172087335</v>
      </c>
      <c r="J82" s="7"/>
    </row>
    <row r="83" ht="14.25" spans="1:10">
      <c r="A83" s="2">
        <v>48</v>
      </c>
      <c r="B83" s="3" t="s">
        <v>95</v>
      </c>
      <c r="C83" s="3" t="s">
        <v>95</v>
      </c>
      <c r="D83" s="3" t="s">
        <v>96</v>
      </c>
      <c r="E83" s="3" t="s">
        <v>63</v>
      </c>
      <c r="F83" s="4">
        <v>512</v>
      </c>
      <c r="G83" s="4">
        <v>1190628</v>
      </c>
      <c r="H83" s="4">
        <f t="shared" si="2"/>
        <v>0.00043002516319119</v>
      </c>
      <c r="J83" s="7"/>
    </row>
    <row r="84" ht="14.25" spans="1:10">
      <c r="A84" s="2">
        <v>49</v>
      </c>
      <c r="B84" s="3" t="s">
        <v>97</v>
      </c>
      <c r="C84" s="3" t="s">
        <v>97</v>
      </c>
      <c r="D84" s="3" t="s">
        <v>98</v>
      </c>
      <c r="E84" s="3" t="s">
        <v>63</v>
      </c>
      <c r="F84" s="4">
        <v>436</v>
      </c>
      <c r="G84" s="4">
        <v>1190628</v>
      </c>
      <c r="H84" s="4">
        <f t="shared" si="2"/>
        <v>0.000366193303029998</v>
      </c>
      <c r="J84" s="7"/>
    </row>
    <row r="85" ht="14.25" spans="1:10">
      <c r="A85" s="2">
        <v>50</v>
      </c>
      <c r="B85" s="5" t="s">
        <v>99</v>
      </c>
      <c r="C85" s="5" t="s">
        <v>99</v>
      </c>
      <c r="D85" s="3" t="s">
        <v>100</v>
      </c>
      <c r="E85" s="3" t="s">
        <v>63</v>
      </c>
      <c r="F85" s="4">
        <v>80</v>
      </c>
      <c r="G85" s="4">
        <v>1190628</v>
      </c>
      <c r="H85" s="4">
        <f t="shared" si="2"/>
        <v>6.71914317486234e-5</v>
      </c>
      <c r="J85" s="7"/>
    </row>
    <row r="86" ht="14.25" spans="1:10">
      <c r="A86" s="2">
        <v>51</v>
      </c>
      <c r="B86" s="3" t="s">
        <v>101</v>
      </c>
      <c r="C86" s="3" t="s">
        <v>101</v>
      </c>
      <c r="D86" s="3" t="s">
        <v>102</v>
      </c>
      <c r="E86" s="3" t="s">
        <v>63</v>
      </c>
      <c r="F86" s="4">
        <v>24</v>
      </c>
      <c r="G86" s="4">
        <v>1190628</v>
      </c>
      <c r="H86" s="4">
        <f t="shared" si="2"/>
        <v>2.0157429524587e-5</v>
      </c>
      <c r="J86" s="7"/>
    </row>
    <row r="87" spans="1:10">
      <c r="J87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7" sqref="J37:J8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7" sqref="J37:J8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2023-05-12T11:15:00Z</dcterms:created>
  <dcterms:modified xsi:type="dcterms:W3CDTF">2026-01-08T13:40:56Z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DF9B57F160204B479A1F4DBDC60EAB84_12</vt:lpwstr>
  </property>
</Properties>
</file>